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EFAB48EC-4ECC-4492-8509-914875937521}" xr6:coauthVersionLast="47" xr6:coauthVersionMax="47" xr10:uidLastSave="{00000000-0000-0000-0000-000000000000}"/>
  <bookViews>
    <workbookView xWindow="-120" yWindow="-120" windowWidth="29040" windowHeight="16440" xr2:uid="{5309CAFA-2E28-4FBB-8B42-1381C6B21D0F}"/>
  </bookViews>
  <sheets>
    <sheet name="ΙΣΤΟΣΕΛΙΔΑ-UK(5)" sheetId="1" r:id="rId1"/>
  </sheets>
  <externalReferences>
    <externalReference r:id="rId2"/>
  </externalReference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5" i="1" l="1"/>
  <c r="K65" i="1" s="1"/>
  <c r="I65" i="1"/>
  <c r="H65" i="1"/>
  <c r="G65" i="1"/>
  <c r="F65" i="1"/>
  <c r="J64" i="1"/>
  <c r="K64" i="1" s="1"/>
  <c r="H64" i="1"/>
  <c r="I64" i="1" s="1"/>
  <c r="G64" i="1"/>
  <c r="F64" i="1"/>
  <c r="J63" i="1"/>
  <c r="K63" i="1" s="1"/>
  <c r="H63" i="1"/>
  <c r="I63" i="1" s="1"/>
  <c r="G63" i="1"/>
  <c r="F63" i="1"/>
  <c r="M60" i="1"/>
  <c r="L60" i="1"/>
  <c r="K60" i="1"/>
  <c r="J60" i="1"/>
  <c r="I60" i="1"/>
  <c r="H60" i="1"/>
  <c r="G60" i="1"/>
  <c r="F60" i="1"/>
  <c r="E60" i="1"/>
  <c r="D60" i="1"/>
  <c r="C60" i="1"/>
  <c r="M59" i="1"/>
  <c r="L59" i="1"/>
  <c r="K59" i="1"/>
  <c r="J59" i="1"/>
  <c r="I59" i="1"/>
  <c r="H59" i="1"/>
  <c r="G59" i="1"/>
  <c r="F59" i="1"/>
  <c r="E59" i="1"/>
  <c r="D59" i="1"/>
  <c r="C59" i="1"/>
  <c r="M58" i="1"/>
  <c r="L58" i="1"/>
  <c r="K58" i="1"/>
  <c r="J58" i="1"/>
  <c r="I58" i="1"/>
  <c r="H58" i="1"/>
  <c r="G58" i="1"/>
  <c r="F58" i="1"/>
  <c r="E58" i="1"/>
  <c r="D58" i="1"/>
  <c r="C58" i="1"/>
  <c r="M57" i="1"/>
  <c r="L57" i="1"/>
  <c r="K57" i="1"/>
  <c r="J57" i="1"/>
  <c r="I57" i="1"/>
  <c r="H57" i="1"/>
  <c r="G57" i="1"/>
  <c r="F57" i="1"/>
  <c r="E57" i="1"/>
  <c r="D57" i="1"/>
  <c r="C57" i="1"/>
  <c r="M56" i="1"/>
  <c r="L56" i="1"/>
  <c r="K56" i="1"/>
  <c r="J56" i="1"/>
  <c r="I56" i="1"/>
  <c r="H56" i="1"/>
  <c r="G56" i="1"/>
  <c r="F56" i="1"/>
  <c r="E56" i="1"/>
  <c r="D56" i="1"/>
  <c r="C56" i="1"/>
  <c r="M55" i="1"/>
  <c r="L55" i="1"/>
  <c r="K55" i="1"/>
  <c r="J55" i="1"/>
  <c r="I55" i="1"/>
  <c r="H55" i="1"/>
  <c r="G55" i="1"/>
  <c r="F55" i="1"/>
  <c r="E55" i="1"/>
  <c r="D55" i="1"/>
  <c r="C55" i="1"/>
  <c r="M54" i="1"/>
  <c r="L54" i="1"/>
  <c r="K54" i="1"/>
  <c r="J54" i="1"/>
  <c r="I54" i="1"/>
  <c r="H54" i="1"/>
  <c r="G54" i="1"/>
  <c r="F54" i="1"/>
  <c r="E54" i="1"/>
  <c r="D54" i="1"/>
  <c r="C54" i="1"/>
  <c r="M53" i="1"/>
  <c r="L53" i="1"/>
  <c r="K53" i="1"/>
  <c r="J53" i="1"/>
  <c r="I53" i="1"/>
  <c r="H53" i="1"/>
  <c r="G53" i="1"/>
  <c r="F53" i="1"/>
  <c r="F61" i="1" s="1"/>
  <c r="E53" i="1"/>
  <c r="D53" i="1"/>
  <c r="C53" i="1"/>
  <c r="M52" i="1"/>
  <c r="L52" i="1"/>
  <c r="K52" i="1"/>
  <c r="J52" i="1"/>
  <c r="I52" i="1"/>
  <c r="H52" i="1"/>
  <c r="G52" i="1"/>
  <c r="F52" i="1"/>
  <c r="E52" i="1"/>
  <c r="D52" i="1"/>
  <c r="C52" i="1"/>
  <c r="M51" i="1"/>
  <c r="L51" i="1"/>
  <c r="L61" i="1" s="1"/>
  <c r="K51" i="1"/>
  <c r="J51" i="1"/>
  <c r="J61" i="1" s="1"/>
  <c r="I51" i="1"/>
  <c r="H51" i="1"/>
  <c r="G51" i="1"/>
  <c r="F51" i="1"/>
  <c r="E51" i="1"/>
  <c r="E61" i="1" s="1"/>
  <c r="D51" i="1"/>
  <c r="D61" i="1" s="1"/>
  <c r="C51" i="1"/>
  <c r="M50" i="1"/>
  <c r="M61" i="1" s="1"/>
  <c r="L50" i="1"/>
  <c r="K50" i="1"/>
  <c r="K61" i="1" s="1"/>
  <c r="J50" i="1"/>
  <c r="I50" i="1"/>
  <c r="I61" i="1" s="1"/>
  <c r="H50" i="1"/>
  <c r="H61" i="1" s="1"/>
  <c r="G50" i="1"/>
  <c r="G61" i="1" s="1"/>
  <c r="F50" i="1"/>
  <c r="E50" i="1"/>
  <c r="D50" i="1"/>
  <c r="C50" i="1"/>
  <c r="C61" i="1" s="1"/>
  <c r="M49" i="1"/>
  <c r="L49" i="1"/>
  <c r="K49" i="1"/>
  <c r="J49" i="1"/>
  <c r="I49" i="1"/>
  <c r="H49" i="1"/>
  <c r="G49" i="1"/>
  <c r="F49" i="1"/>
  <c r="E49" i="1"/>
  <c r="D49" i="1"/>
  <c r="C49" i="1"/>
  <c r="J45" i="1"/>
  <c r="M43" i="1"/>
  <c r="L43" i="1"/>
  <c r="M41" i="1"/>
  <c r="L41" i="1"/>
  <c r="M40" i="1"/>
  <c r="L40" i="1"/>
  <c r="J40" i="1"/>
  <c r="K40" i="1" s="1"/>
  <c r="H40" i="1"/>
  <c r="I40" i="1" s="1"/>
  <c r="G40" i="1"/>
  <c r="F40" i="1"/>
  <c r="M39" i="1"/>
  <c r="L39" i="1"/>
  <c r="J39" i="1"/>
  <c r="K39" i="1" s="1"/>
  <c r="H39" i="1"/>
  <c r="I39" i="1" s="1"/>
  <c r="G39" i="1"/>
  <c r="F39" i="1"/>
  <c r="M38" i="1"/>
  <c r="L38" i="1"/>
  <c r="J38" i="1"/>
  <c r="K38" i="1" s="1"/>
  <c r="H38" i="1"/>
  <c r="I38" i="1" s="1"/>
  <c r="G38" i="1"/>
  <c r="G41" i="1" s="1"/>
  <c r="F38" i="1"/>
  <c r="F41" i="1" s="1"/>
  <c r="M36" i="1"/>
  <c r="L36" i="1"/>
  <c r="M35" i="1"/>
  <c r="L35" i="1"/>
  <c r="J35" i="1"/>
  <c r="K35" i="1" s="1"/>
  <c r="H35" i="1"/>
  <c r="I35" i="1" s="1"/>
  <c r="G35" i="1"/>
  <c r="F35" i="1"/>
  <c r="M34" i="1"/>
  <c r="L34" i="1"/>
  <c r="J34" i="1"/>
  <c r="K34" i="1" s="1"/>
  <c r="H34" i="1"/>
  <c r="I34" i="1" s="1"/>
  <c r="G34" i="1"/>
  <c r="F34" i="1"/>
  <c r="M33" i="1"/>
  <c r="L33" i="1"/>
  <c r="J33" i="1"/>
  <c r="K33" i="1" s="1"/>
  <c r="H33" i="1"/>
  <c r="I33" i="1" s="1"/>
  <c r="G33" i="1"/>
  <c r="F33" i="1"/>
  <c r="M32" i="1"/>
  <c r="L32" i="1"/>
  <c r="J32" i="1"/>
  <c r="K32" i="1" s="1"/>
  <c r="H32" i="1"/>
  <c r="I32" i="1" s="1"/>
  <c r="G32" i="1"/>
  <c r="G36" i="1" s="1"/>
  <c r="F32" i="1"/>
  <c r="F36" i="1" s="1"/>
  <c r="M30" i="1"/>
  <c r="L30" i="1"/>
  <c r="M29" i="1"/>
  <c r="L29" i="1"/>
  <c r="J29" i="1"/>
  <c r="K29" i="1" s="1"/>
  <c r="H29" i="1"/>
  <c r="I29" i="1" s="1"/>
  <c r="G29" i="1"/>
  <c r="F29" i="1"/>
  <c r="M28" i="1"/>
  <c r="L28" i="1"/>
  <c r="J28" i="1"/>
  <c r="K28" i="1" s="1"/>
  <c r="H28" i="1"/>
  <c r="I28" i="1" s="1"/>
  <c r="G28" i="1"/>
  <c r="F28" i="1"/>
  <c r="M27" i="1"/>
  <c r="L27" i="1"/>
  <c r="J27" i="1"/>
  <c r="K27" i="1" s="1"/>
  <c r="H27" i="1"/>
  <c r="I27" i="1" s="1"/>
  <c r="G27" i="1"/>
  <c r="G30" i="1" s="1"/>
  <c r="F27" i="1"/>
  <c r="F30" i="1" s="1"/>
  <c r="M25" i="1"/>
  <c r="L25" i="1"/>
  <c r="J25" i="1"/>
  <c r="K25" i="1" s="1"/>
  <c r="G25" i="1"/>
  <c r="F25" i="1"/>
  <c r="M24" i="1"/>
  <c r="L24" i="1"/>
  <c r="J24" i="1"/>
  <c r="K24" i="1" s="1"/>
  <c r="H24" i="1"/>
  <c r="I24" i="1" s="1"/>
  <c r="F24" i="1"/>
  <c r="M23" i="1"/>
  <c r="L23" i="1"/>
  <c r="K23" i="1"/>
  <c r="J23" i="1"/>
  <c r="I23" i="1"/>
  <c r="H23" i="1"/>
  <c r="G23" i="1"/>
  <c r="F23" i="1"/>
  <c r="M22" i="1"/>
  <c r="L22" i="1"/>
  <c r="K22" i="1"/>
  <c r="J22" i="1"/>
  <c r="I22" i="1"/>
  <c r="H22" i="1"/>
  <c r="G22" i="1"/>
  <c r="F22" i="1"/>
  <c r="M21" i="1"/>
  <c r="L21" i="1"/>
  <c r="K21" i="1"/>
  <c r="J21" i="1"/>
  <c r="I21" i="1"/>
  <c r="H21" i="1"/>
  <c r="G21" i="1"/>
  <c r="F21" i="1"/>
  <c r="M20" i="1"/>
  <c r="L20" i="1"/>
  <c r="K20" i="1"/>
  <c r="J20" i="1"/>
  <c r="I20" i="1"/>
  <c r="H20" i="1"/>
  <c r="G20" i="1"/>
  <c r="F20" i="1"/>
  <c r="M19" i="1"/>
  <c r="L19" i="1"/>
  <c r="K19" i="1"/>
  <c r="J19" i="1"/>
  <c r="I19" i="1"/>
  <c r="H19" i="1"/>
  <c r="G19" i="1"/>
  <c r="F19" i="1"/>
  <c r="M18" i="1"/>
  <c r="L18" i="1"/>
  <c r="K18" i="1"/>
  <c r="J18" i="1"/>
  <c r="I18" i="1"/>
  <c r="H18" i="1"/>
  <c r="G18" i="1"/>
  <c r="F18" i="1"/>
  <c r="M17" i="1"/>
  <c r="L17" i="1"/>
  <c r="K17" i="1"/>
  <c r="J17" i="1"/>
  <c r="I17" i="1"/>
  <c r="H17" i="1"/>
  <c r="H25" i="1" s="1"/>
  <c r="G17" i="1"/>
  <c r="F17" i="1"/>
  <c r="G15" i="1"/>
  <c r="L14" i="1"/>
  <c r="L10" i="1"/>
  <c r="G43" i="1" l="1"/>
  <c r="I25" i="1"/>
  <c r="F43" i="1"/>
  <c r="H30" i="1"/>
  <c r="I30" i="1" s="1"/>
  <c r="H36" i="1"/>
  <c r="I36" i="1" s="1"/>
  <c r="H41" i="1"/>
  <c r="I41" i="1" s="1"/>
  <c r="J30" i="1"/>
  <c r="K30" i="1" s="1"/>
  <c r="J36" i="1"/>
  <c r="K36" i="1" s="1"/>
  <c r="J41" i="1"/>
  <c r="K41" i="1" s="1"/>
  <c r="J43" i="1" l="1"/>
  <c r="K43" i="1" s="1"/>
  <c r="H43" i="1"/>
  <c r="I43" i="1" s="1"/>
</calcChain>
</file>

<file path=xl/sharedStrings.xml><?xml version="1.0" encoding="utf-8"?>
<sst xmlns="http://schemas.openxmlformats.org/spreadsheetml/2006/main" count="69" uniqueCount="60">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</sst>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F6D00DD-B7FB-4E84-93BB-F84D2BFC9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7831B9E0-3C0E-4897-AF4B-716A978FC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126.111.1\Irrigation\Marios_dams\19-AUG-2026.xlsx" TargetMode="External"/><Relationship Id="rId1" Type="http://schemas.openxmlformats.org/officeDocument/2006/relationships/externalLinkPath" Target="19-AUG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-ELEV-STR(1)"/>
      <sheetName val="ΚΑΤΑΧΩΡΗΣΗ-ΕΛΕΓΧΟΣ(2)"/>
      <sheetName val="ΕΙΣΡΟΕΣ-ΕΚΡΟΕΣ(3)"/>
      <sheetName val="ΙΣΤΟΣΕΛΙΔΑ-GR(4)"/>
      <sheetName val="ΙΣΤΟΣΕΛΙΔΑ-UK(5)"/>
      <sheetName val="ΚΑΛΑΒ-ΔΙΠΟΤ"/>
      <sheetName val="Αφαλ.Βασ."/>
      <sheetName val="INFLOW97-2019"/>
      <sheetName val="EVAPOR"/>
      <sheetName val="TOTEVAP0R"/>
      <sheetName val="τηλεφ"/>
      <sheetName val="DEADSTΟRAGE"/>
      <sheetName val="ELEVATIONS"/>
    </sheetNames>
    <sheetDataSet>
      <sheetData sheetId="0">
        <row r="44">
          <cell r="D44">
            <v>0.11799999999999999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1E-3</v>
          </cell>
          <cell r="J44">
            <v>1.7000000000000001E-2</v>
          </cell>
          <cell r="K44">
            <v>0</v>
          </cell>
          <cell r="L44">
            <v>4.0000000000000001E-3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6">
          <cell r="D46">
            <v>26.574999999999999</v>
          </cell>
          <cell r="E46">
            <v>20.242999999999999</v>
          </cell>
          <cell r="F46">
            <v>10.205</v>
          </cell>
          <cell r="G46">
            <v>9.6430000000000007</v>
          </cell>
          <cell r="H46">
            <v>4.197000000000001</v>
          </cell>
          <cell r="I46">
            <v>1.7250000000000001</v>
          </cell>
          <cell r="J46">
            <v>3.7730000000000001</v>
          </cell>
          <cell r="K46">
            <v>8.9610000000000003</v>
          </cell>
          <cell r="L46">
            <v>22.381</v>
          </cell>
          <cell r="N46">
            <v>1.6190000000000002</v>
          </cell>
          <cell r="O46">
            <v>0.95100000000000007</v>
          </cell>
          <cell r="P46">
            <v>1.7230000000000001</v>
          </cell>
          <cell r="Q46">
            <v>1.4920000000000002</v>
          </cell>
          <cell r="R46">
            <v>1.038</v>
          </cell>
          <cell r="S46">
            <v>0.84400000000000031</v>
          </cell>
          <cell r="T46">
            <v>0.31200000000000006</v>
          </cell>
          <cell r="U46">
            <v>0.28200000000000003</v>
          </cell>
        </row>
        <row r="61">
          <cell r="D61">
            <v>45.555</v>
          </cell>
          <cell r="E61">
            <v>20.236999999999998</v>
          </cell>
          <cell r="F61">
            <v>10.27</v>
          </cell>
          <cell r="G61">
            <v>7.9779999999999998</v>
          </cell>
          <cell r="H61">
            <v>3.9740000000000002</v>
          </cell>
          <cell r="I61">
            <v>2.4660000000000002</v>
          </cell>
          <cell r="J61">
            <v>4.7780000000000005</v>
          </cell>
          <cell r="K61">
            <v>7.1820000000000004</v>
          </cell>
          <cell r="L61">
            <v>2.5209999999999999</v>
          </cell>
          <cell r="M61">
            <v>9.6000000000000002E-2</v>
          </cell>
          <cell r="N61">
            <v>1.504</v>
          </cell>
          <cell r="O61">
            <v>1.133</v>
          </cell>
          <cell r="P61">
            <v>1.395</v>
          </cell>
          <cell r="Q61">
            <v>1.22</v>
          </cell>
          <cell r="R61">
            <v>0.61099999999999999</v>
          </cell>
          <cell r="S61">
            <v>0.63</v>
          </cell>
          <cell r="T61">
            <v>0.35899999999999999</v>
          </cell>
          <cell r="U61">
            <v>0.19600000000000001</v>
          </cell>
        </row>
      </sheetData>
      <sheetData sheetId="1">
        <row r="12">
          <cell r="O12">
            <v>46253</v>
          </cell>
        </row>
        <row r="17">
          <cell r="N17">
            <v>2025</v>
          </cell>
        </row>
        <row r="21">
          <cell r="I21" t="str">
            <v>1/10/2025</v>
          </cell>
        </row>
        <row r="22">
          <cell r="L22">
            <v>15.792</v>
          </cell>
        </row>
        <row r="23">
          <cell r="L23">
            <v>7.6379999999999999</v>
          </cell>
        </row>
        <row r="24">
          <cell r="L24">
            <v>3.9359999999999999</v>
          </cell>
        </row>
        <row r="25">
          <cell r="L25">
            <v>2.9020000000000001</v>
          </cell>
        </row>
        <row r="26">
          <cell r="L26">
            <v>2.758</v>
          </cell>
        </row>
        <row r="27">
          <cell r="L27">
            <v>2.1469999999999998</v>
          </cell>
        </row>
        <row r="28">
          <cell r="L28">
            <v>4.4080000000000004</v>
          </cell>
        </row>
        <row r="29">
          <cell r="L29">
            <v>1.585</v>
          </cell>
        </row>
        <row r="30">
          <cell r="L30">
            <v>2.1520000000000001</v>
          </cell>
        </row>
        <row r="31">
          <cell r="L31">
            <v>0.94599999999999995</v>
          </cell>
        </row>
        <row r="32">
          <cell r="L32">
            <v>0</v>
          </cell>
        </row>
        <row r="33">
          <cell r="L33">
            <v>1.0999999999999999E-2</v>
          </cell>
        </row>
        <row r="34">
          <cell r="L34">
            <v>0.11</v>
          </cell>
        </row>
        <row r="35">
          <cell r="L35">
            <v>4.7E-2</v>
          </cell>
        </row>
        <row r="36">
          <cell r="L36">
            <v>0.14000000000000001</v>
          </cell>
        </row>
        <row r="37">
          <cell r="L37">
            <v>9.6000000000000002E-2</v>
          </cell>
        </row>
        <row r="38">
          <cell r="L38">
            <v>5.8999999999999997E-2</v>
          </cell>
        </row>
        <row r="39">
          <cell r="L39">
            <v>0.318</v>
          </cell>
        </row>
        <row r="49">
          <cell r="E49" t="str">
            <v>15/16</v>
          </cell>
          <cell r="F49" t="str">
            <v>16/17</v>
          </cell>
          <cell r="G49" t="str">
            <v>17/18</v>
          </cell>
          <cell r="H49" t="str">
            <v>18/19</v>
          </cell>
          <cell r="I49" t="str">
            <v>19/20</v>
          </cell>
          <cell r="J49" t="str">
            <v>20/21</v>
          </cell>
          <cell r="K49" t="str">
            <v>21/22</v>
          </cell>
          <cell r="L49" t="str">
            <v>22/23</v>
          </cell>
          <cell r="M49" t="str">
            <v>23/24</v>
          </cell>
          <cell r="N49" t="str">
            <v>24/25</v>
          </cell>
          <cell r="O49" t="str">
            <v>25/26</v>
          </cell>
        </row>
        <row r="50">
          <cell r="E50">
            <v>1.024</v>
          </cell>
          <cell r="F50">
            <v>0.247</v>
          </cell>
          <cell r="G50">
            <v>0.14199999999999999</v>
          </cell>
          <cell r="H50">
            <v>0.85799999999999998</v>
          </cell>
          <cell r="I50">
            <v>2.4298378274389072</v>
          </cell>
          <cell r="J50">
            <v>0.16500000000000001</v>
          </cell>
          <cell r="K50">
            <v>8.4000000000000005E-2</v>
          </cell>
          <cell r="L50">
            <v>3.9459999999999997</v>
          </cell>
          <cell r="M50">
            <v>0.58300000000000018</v>
          </cell>
          <cell r="N50">
            <v>0</v>
          </cell>
          <cell r="O50">
            <v>9.5000000000000001E-2</v>
          </cell>
        </row>
        <row r="51">
          <cell r="E51">
            <v>0.60799999999999998</v>
          </cell>
          <cell r="F51">
            <v>0.65700000000000003</v>
          </cell>
          <cell r="G51">
            <v>0.61399999999999999</v>
          </cell>
          <cell r="H51">
            <v>0.75700000000000001</v>
          </cell>
          <cell r="I51">
            <v>1.5453236734428304</v>
          </cell>
          <cell r="J51">
            <v>0.94200000000000017</v>
          </cell>
          <cell r="K51">
            <v>0.39700000000000008</v>
          </cell>
          <cell r="L51">
            <v>2.9759999999999995</v>
          </cell>
          <cell r="M51">
            <v>1.5810000000000002</v>
          </cell>
          <cell r="N51">
            <v>3.0839999999999987</v>
          </cell>
          <cell r="O51">
            <v>0.20000000000000004</v>
          </cell>
        </row>
        <row r="52">
          <cell r="E52">
            <v>1.248</v>
          </cell>
          <cell r="F52">
            <v>7.4240000000000004</v>
          </cell>
          <cell r="G52">
            <v>0.88100000000000001</v>
          </cell>
          <cell r="H52">
            <v>16.664999999999999</v>
          </cell>
          <cell r="I52">
            <v>30.495000000000001</v>
          </cell>
          <cell r="J52">
            <v>3.1070000000000007</v>
          </cell>
          <cell r="K52">
            <v>11.922999999999998</v>
          </cell>
          <cell r="L52">
            <v>2.9220000000000006</v>
          </cell>
          <cell r="M52">
            <v>2.3400000000000007</v>
          </cell>
          <cell r="N52">
            <v>5.71</v>
          </cell>
          <cell r="O52">
            <v>1.9030000000000002</v>
          </cell>
        </row>
        <row r="53">
          <cell r="E53">
            <v>3.6850000000000001</v>
          </cell>
          <cell r="F53">
            <v>21.082999999999998</v>
          </cell>
          <cell r="G53">
            <v>20.661000000000001</v>
          </cell>
          <cell r="H53">
            <v>118.11</v>
          </cell>
          <cell r="I53">
            <v>47.740000000000009</v>
          </cell>
          <cell r="J53">
            <v>12.540000000000001</v>
          </cell>
          <cell r="K53">
            <v>74.614000000000004</v>
          </cell>
          <cell r="L53">
            <v>8.2679999999999989</v>
          </cell>
          <cell r="M53">
            <v>7.3000000000000007</v>
          </cell>
          <cell r="N53">
            <v>4.0620000000000012</v>
          </cell>
          <cell r="O53">
            <v>12.670000000000002</v>
          </cell>
        </row>
        <row r="54">
          <cell r="E54">
            <v>2.8239999999999972</v>
          </cell>
          <cell r="F54">
            <v>4.181</v>
          </cell>
          <cell r="G54">
            <v>9.5280000000000005</v>
          </cell>
          <cell r="H54">
            <v>53.908999999999999</v>
          </cell>
          <cell r="I54">
            <v>15.916000000000002</v>
          </cell>
          <cell r="J54">
            <v>8.016</v>
          </cell>
          <cell r="K54">
            <v>33.962999999999994</v>
          </cell>
          <cell r="L54">
            <v>12.603</v>
          </cell>
          <cell r="M54">
            <v>6.6760000000000019</v>
          </cell>
          <cell r="N54">
            <v>2.4510000000000005</v>
          </cell>
          <cell r="O54">
            <v>24.201000000000004</v>
          </cell>
        </row>
        <row r="55">
          <cell r="E55">
            <v>6.1319999999999997</v>
          </cell>
          <cell r="F55">
            <v>8.891</v>
          </cell>
          <cell r="G55">
            <v>5.944</v>
          </cell>
          <cell r="H55">
            <v>32.283000000000001</v>
          </cell>
          <cell r="I55">
            <v>15.670000000000002</v>
          </cell>
          <cell r="J55">
            <v>6.0219999999999994</v>
          </cell>
          <cell r="K55">
            <v>19.801000000000002</v>
          </cell>
          <cell r="L55">
            <v>9.5170000000000012</v>
          </cell>
          <cell r="M55">
            <v>2.9200000000000004</v>
          </cell>
          <cell r="N55">
            <v>1.4649999999999996</v>
          </cell>
          <cell r="O55">
            <v>35.414000000000001</v>
          </cell>
        </row>
        <row r="56">
          <cell r="E56">
            <v>1.3140000000000001</v>
          </cell>
          <cell r="F56">
            <v>4.3979999999999997</v>
          </cell>
          <cell r="G56">
            <v>2.1760000000000002</v>
          </cell>
          <cell r="H56">
            <v>25.326000000000001</v>
          </cell>
          <cell r="I56">
            <v>11.062000000000003</v>
          </cell>
          <cell r="J56">
            <v>4.1559999999999988</v>
          </cell>
          <cell r="K56">
            <v>8.1390000000000029</v>
          </cell>
          <cell r="L56">
            <v>4.7410000000000005</v>
          </cell>
          <cell r="M56">
            <v>1.8010000000000004</v>
          </cell>
          <cell r="N56">
            <v>1.0959999999999999</v>
          </cell>
          <cell r="O56">
            <v>23.609000000000002</v>
          </cell>
        </row>
        <row r="57">
          <cell r="E57">
            <v>0.96099999999999997</v>
          </cell>
          <cell r="F57">
            <v>1.78</v>
          </cell>
          <cell r="G57">
            <v>2.802</v>
          </cell>
          <cell r="H57">
            <v>8.868999999999998</v>
          </cell>
          <cell r="I57">
            <v>7.3170000000000002</v>
          </cell>
          <cell r="J57">
            <v>0.89900000000000024</v>
          </cell>
          <cell r="K57">
            <v>3.4400000000000004</v>
          </cell>
          <cell r="L57">
            <v>2.7279999999999998</v>
          </cell>
          <cell r="M57">
            <v>0.91000000000000036</v>
          </cell>
          <cell r="N57">
            <v>0.71600000000000019</v>
          </cell>
          <cell r="O57">
            <v>13.220999999999998</v>
          </cell>
        </row>
        <row r="58">
          <cell r="E58">
            <v>0.105</v>
          </cell>
          <cell r="F58">
            <v>0.22800000000000001</v>
          </cell>
          <cell r="G58">
            <v>2.0219999999999998</v>
          </cell>
          <cell r="H58">
            <v>6.1989999999999998</v>
          </cell>
          <cell r="I58">
            <v>2.7469999999999999</v>
          </cell>
          <cell r="J58">
            <v>0.192</v>
          </cell>
          <cell r="K58">
            <v>1.2640000000000002</v>
          </cell>
          <cell r="L58">
            <v>0.89100000000000013</v>
          </cell>
          <cell r="M58">
            <v>0.29700000000000004</v>
          </cell>
          <cell r="N58">
            <v>7.6000000000000012E-2</v>
          </cell>
          <cell r="O58">
            <v>3.0700000000000003</v>
          </cell>
        </row>
        <row r="59">
          <cell r="E59">
            <v>0</v>
          </cell>
          <cell r="F59">
            <v>0</v>
          </cell>
          <cell r="G59">
            <v>0.05</v>
          </cell>
          <cell r="H59">
            <v>1.524</v>
          </cell>
          <cell r="I59">
            <v>0.86600000000000021</v>
          </cell>
          <cell r="J59">
            <v>2.4E-2</v>
          </cell>
          <cell r="K59">
            <v>9.2999999999999999E-2</v>
          </cell>
          <cell r="L59">
            <v>0</v>
          </cell>
          <cell r="M59">
            <v>9.8000000000000004E-2</v>
          </cell>
          <cell r="N59">
            <v>0</v>
          </cell>
          <cell r="O59">
            <v>1.1120000000000003</v>
          </cell>
        </row>
        <row r="60">
          <cell r="E60">
            <v>6.0000000000000001E-3</v>
          </cell>
          <cell r="F60">
            <v>0</v>
          </cell>
          <cell r="G60">
            <v>7.6999999999999999E-2</v>
          </cell>
          <cell r="H60">
            <v>0.54209980586723205</v>
          </cell>
          <cell r="I60">
            <v>0.161</v>
          </cell>
          <cell r="J60">
            <v>3.5000000000000003E-2</v>
          </cell>
          <cell r="K60">
            <v>3.4999999999999996E-2</v>
          </cell>
          <cell r="L60">
            <v>0.186</v>
          </cell>
          <cell r="M60">
            <v>0.20799999999999999</v>
          </cell>
          <cell r="N60">
            <v>4.0000000000000001E-3</v>
          </cell>
          <cell r="O60">
            <v>0.46900000000000003</v>
          </cell>
        </row>
      </sheetData>
      <sheetData sheetId="2">
        <row r="23">
          <cell r="M23">
            <v>25.538</v>
          </cell>
          <cell r="N23" t="str">
            <v>7/1</v>
          </cell>
        </row>
        <row r="24">
          <cell r="M24">
            <v>4.726</v>
          </cell>
          <cell r="N24" t="str">
            <v>28/3</v>
          </cell>
        </row>
        <row r="25">
          <cell r="M25">
            <v>5.6509999999999998</v>
          </cell>
          <cell r="N25" t="str">
            <v>1/1</v>
          </cell>
        </row>
        <row r="26">
          <cell r="M26">
            <v>5.9939999999999998</v>
          </cell>
          <cell r="N26" t="str">
            <v>30/5</v>
          </cell>
        </row>
        <row r="27">
          <cell r="M27">
            <v>3.7949999999999999</v>
          </cell>
          <cell r="N27" t="str">
            <v>31/1</v>
          </cell>
        </row>
        <row r="28">
          <cell r="M28">
            <v>2.734</v>
          </cell>
          <cell r="N28" t="str">
            <v>14/5</v>
          </cell>
        </row>
        <row r="29">
          <cell r="M29">
            <v>1.393</v>
          </cell>
          <cell r="N29" t="str">
            <v>21/2</v>
          </cell>
        </row>
        <row r="30">
          <cell r="M30">
            <v>1.9650000000000001</v>
          </cell>
          <cell r="N30" t="str">
            <v>5/2</v>
          </cell>
        </row>
        <row r="31">
          <cell r="M31">
            <v>48.933999999999997</v>
          </cell>
          <cell r="N31" t="str">
            <v>29/1</v>
          </cell>
        </row>
        <row r="33">
          <cell r="M33">
            <v>15.348000000000001</v>
          </cell>
          <cell r="N33" t="str">
            <v>3/1</v>
          </cell>
        </row>
        <row r="34">
          <cell r="M34">
            <v>5.2060000000000004</v>
          </cell>
          <cell r="N34" t="str">
            <v>3/1</v>
          </cell>
        </row>
        <row r="35">
          <cell r="M35">
            <v>1.3979999999999999</v>
          </cell>
          <cell r="N35" t="str">
            <v>17/1</v>
          </cell>
        </row>
        <row r="36">
          <cell r="M36">
            <v>21.739000000000001</v>
          </cell>
          <cell r="N36" t="str">
            <v>3/1</v>
          </cell>
        </row>
        <row r="38">
          <cell r="M38">
            <v>6.2009999999999996</v>
          </cell>
          <cell r="N38" t="str">
            <v>7/3</v>
          </cell>
        </row>
        <row r="39">
          <cell r="M39">
            <v>0.39100000000000001</v>
          </cell>
          <cell r="N39" t="str">
            <v>17/4</v>
          </cell>
        </row>
        <row r="40">
          <cell r="M40">
            <v>0.378</v>
          </cell>
          <cell r="N40" t="str">
            <v>30/4</v>
          </cell>
        </row>
        <row r="41">
          <cell r="M41">
            <v>0.17699999999999999</v>
          </cell>
          <cell r="N41" t="str">
            <v>30,4</v>
          </cell>
        </row>
        <row r="42">
          <cell r="M42">
            <v>7.0609999999999999</v>
          </cell>
          <cell r="N42" t="str">
            <v>7/3</v>
          </cell>
        </row>
        <row r="44">
          <cell r="M44">
            <v>5.0999999999999997E-2</v>
          </cell>
          <cell r="N44" t="str">
            <v>11/1</v>
          </cell>
        </row>
        <row r="45">
          <cell r="M45">
            <v>0.33500000000000002</v>
          </cell>
          <cell r="N45" t="str">
            <v>24/3</v>
          </cell>
        </row>
        <row r="46">
          <cell r="M46">
            <v>0.32</v>
          </cell>
          <cell r="N46" t="str">
            <v>18/4</v>
          </cell>
        </row>
        <row r="47">
          <cell r="M47">
            <v>0.69599999999999995</v>
          </cell>
          <cell r="N47" t="str">
            <v>24/3</v>
          </cell>
        </row>
        <row r="49">
          <cell r="M49">
            <v>77.382999999999996</v>
          </cell>
          <cell r="N49" t="str">
            <v>15/1</v>
          </cell>
        </row>
        <row r="68">
          <cell r="H68">
            <v>2.6580000000000004</v>
          </cell>
          <cell r="I68">
            <v>2.4689999999999999</v>
          </cell>
          <cell r="K68">
            <v>0.66100000000000003</v>
          </cell>
        </row>
        <row r="69">
          <cell r="H69">
            <v>1.143</v>
          </cell>
          <cell r="I69">
            <v>1.8460000000000001</v>
          </cell>
          <cell r="K69">
            <v>1.22</v>
          </cell>
        </row>
        <row r="70">
          <cell r="H70">
            <v>2.6260000000000003</v>
          </cell>
          <cell r="I70">
            <v>4.0301842639520169</v>
          </cell>
          <cell r="K70">
            <v>2.198</v>
          </cell>
        </row>
      </sheetData>
      <sheetData sheetId="3">
        <row r="45">
          <cell r="J45">
            <v>20.440000000000001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-0.01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DE8B-5B7E-4D36-AC71-4B2A2205AE3C}">
  <dimension ref="B1:AV86"/>
  <sheetViews>
    <sheetView showGridLines="0" tabSelected="1" topLeftCell="A10" zoomScale="65" zoomScaleNormal="65" workbookViewId="0">
      <selection activeCell="F15" sqref="F15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f>'[1]ΚΑΤΑΧΩΡΗΣΗ-ΕΛΕΓΧΟΣ(2)'!O12</f>
        <v>46253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f>'[1]ΚΑΤΑΧΩΡΗΣΗ-ΕΛΕΓΧΟΣ(2)'!N17</f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tr">
        <f>'[1]ΚΑΤΑΧΩΡΗΣΗ-ΕΛΕΓΧΟΣ(2)'!I21</f>
        <v>1/10/2025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f>'[1]DAILY-ELEV-STR(1)'!D44</f>
        <v>0.11799999999999999</v>
      </c>
      <c r="G17" s="75">
        <f>'[1]DAILY-ELEV-STR(1)'!D46</f>
        <v>26.574999999999999</v>
      </c>
      <c r="H17" s="77">
        <f>'[1]DAILY-ELEV-STR(1)'!D61</f>
        <v>45.555</v>
      </c>
      <c r="I17" s="78">
        <f t="shared" ref="I17:I25" si="0">H17/E17*100</f>
        <v>39.61304347826087</v>
      </c>
      <c r="J17" s="79">
        <f>'[1]ΚΑΤΑΧΩΡΗΣΗ-ΕΛΕΓΧΟΣ(2)'!L22</f>
        <v>15.792</v>
      </c>
      <c r="K17" s="80">
        <f t="shared" ref="K17:K25" si="1">J17/E17*100</f>
        <v>13.732173913043477</v>
      </c>
      <c r="L17" s="81">
        <f>'[1]ΕΙΣΡΟΕΣ-ΕΚΡΟΕΣ(3)'!M23</f>
        <v>25.538</v>
      </c>
      <c r="M17" s="82" t="str">
        <f>'[1]ΕΙΣΡΟΕΣ-ΕΚΡΟΕΣ(3)'!N23</f>
        <v>7/1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f>'[1]DAILY-ELEV-STR(1)'!H44</f>
        <v>0</v>
      </c>
      <c r="G18" s="83">
        <f>'[1]DAILY-ELEV-STR(1)'!H46</f>
        <v>4.197000000000001</v>
      </c>
      <c r="H18" s="85">
        <f>'[1]DAILY-ELEV-STR(1)'!H61</f>
        <v>3.9740000000000002</v>
      </c>
      <c r="I18" s="86">
        <f t="shared" si="0"/>
        <v>23.239766081871345</v>
      </c>
      <c r="J18" s="87">
        <f>'[1]ΚΑΤΑΧΩΡΗΣΗ-ΕΛΕΓΧΟΣ(2)'!L26</f>
        <v>2.758</v>
      </c>
      <c r="K18" s="88">
        <f t="shared" si="1"/>
        <v>16.128654970760234</v>
      </c>
      <c r="L18" s="89">
        <f>'[1]ΕΙΣΡΟΕΣ-ΕΚΡΟΕΣ(3)'!M24</f>
        <v>4.726</v>
      </c>
      <c r="M18" s="90" t="str">
        <f>'[1]ΕΙΣΡΟΕΣ-ΕΚΡΟΕΣ(3)'!N24</f>
        <v>28/3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f>'[1]DAILY-ELEV-STR(1)'!I44</f>
        <v>1E-3</v>
      </c>
      <c r="G19" s="83">
        <f>'[1]DAILY-ELEV-STR(1)'!I46</f>
        <v>1.7250000000000001</v>
      </c>
      <c r="H19" s="85">
        <f>'[1]DAILY-ELEV-STR(1)'!I61</f>
        <v>2.4660000000000002</v>
      </c>
      <c r="I19" s="86">
        <f t="shared" si="0"/>
        <v>17.80505415162455</v>
      </c>
      <c r="J19" s="87">
        <f>'[1]ΚΑΤΑΧΩΡΗΣΗ-ΕΛΕΓΧΟΣ(2)'!L27</f>
        <v>2.1469999999999998</v>
      </c>
      <c r="K19" s="88">
        <f t="shared" si="1"/>
        <v>15.501805054151625</v>
      </c>
      <c r="L19" s="89">
        <f>'[1]ΕΙΣΡΟΕΣ-ΕΚΡΟΕΣ(3)'!M25</f>
        <v>5.6509999999999998</v>
      </c>
      <c r="M19" s="90" t="str">
        <f>'[1]ΕΙΣΡΟΕΣ-ΕΚΡΟΕΣ(3)'!N25</f>
        <v>1/1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f>'[1]DAILY-ELEV-STR(1)'!J44</f>
        <v>1.7000000000000001E-2</v>
      </c>
      <c r="G20" s="83">
        <f>'[1]DAILY-ELEV-STR(1)'!J46</f>
        <v>3.7730000000000001</v>
      </c>
      <c r="H20" s="85">
        <f>'[1]DAILY-ELEV-STR(1)'!J61</f>
        <v>4.7780000000000005</v>
      </c>
      <c r="I20" s="86">
        <f t="shared" si="0"/>
        <v>30.825806451612909</v>
      </c>
      <c r="J20" s="87">
        <f>'[1]ΚΑΤΑΧΩΡΗΣΗ-ΕΛΕΓΧΟΣ(2)'!L28</f>
        <v>4.4080000000000004</v>
      </c>
      <c r="K20" s="88">
        <f t="shared" si="1"/>
        <v>28.438709677419354</v>
      </c>
      <c r="L20" s="89">
        <f>'[1]ΕΙΣΡΟΕΣ-ΕΚΡΟΕΣ(3)'!M26</f>
        <v>5.9939999999999998</v>
      </c>
      <c r="M20" s="90" t="str">
        <f>'[1]ΕΙΣΡΟΕΣ-ΕΚΡΟΕΣ(3)'!N26</f>
        <v>30/5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f>'[1]DAILY-ELEV-STR(1)'!K44</f>
        <v>0</v>
      </c>
      <c r="G21" s="83">
        <f>'[1]DAILY-ELEV-STR(1)'!K46</f>
        <v>8.9610000000000003</v>
      </c>
      <c r="H21" s="85">
        <f>'[1]DAILY-ELEV-STR(1)'!K61</f>
        <v>7.1820000000000004</v>
      </c>
      <c r="I21" s="86">
        <f t="shared" si="0"/>
        <v>53.2</v>
      </c>
      <c r="J21" s="87">
        <f>'[1]ΚΑΤΑΧΩΡΗΣΗ-ΕΛΕΓΧΟΣ(2)'!L29</f>
        <v>1.585</v>
      </c>
      <c r="K21" s="88">
        <f t="shared" si="1"/>
        <v>11.74074074074074</v>
      </c>
      <c r="L21" s="89">
        <f>'[1]ΕΙΣΡΟΕΣ-ΕΚΡΟΕΣ(3)'!M27</f>
        <v>3.7949999999999999</v>
      </c>
      <c r="M21" s="92" t="str">
        <f>'[1]ΕΙΣΡΟΕΣ-ΕΚΡΟΕΣ(3)'!N27</f>
        <v>31/1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f>'[1]DAILY-ELEV-STR(1)'!L44</f>
        <v>4.0000000000000001E-3</v>
      </c>
      <c r="G22" s="83">
        <f>'[1]DAILY-ELEV-STR(1)'!L46</f>
        <v>22.381</v>
      </c>
      <c r="H22" s="85">
        <f>'[1]DAILY-ELEV-STR(1)'!L61</f>
        <v>2.5209999999999999</v>
      </c>
      <c r="I22" s="86">
        <f t="shared" si="0"/>
        <v>58.627906976744185</v>
      </c>
      <c r="J22" s="93">
        <f>'[1]ΚΑΤΑΧΩΡΗΣΗ-ΕΛΕΓΧΟΣ(2)'!L30</f>
        <v>2.1520000000000001</v>
      </c>
      <c r="K22" s="88">
        <f t="shared" si="1"/>
        <v>50.046511627906987</v>
      </c>
      <c r="L22" s="89">
        <f>'[1]ΕΙΣΡΟΕΣ-ΕΚΡΟΕΣ(3)'!M28</f>
        <v>2.734</v>
      </c>
      <c r="M22" s="90" t="str">
        <f>'[1]ΕΙΣΡΟΕΣ-ΕΚΡΟΕΣ(3)'!N28</f>
        <v>14/5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f>'[1]DAILY-ELEV-STR(1)'!N44</f>
        <v>0</v>
      </c>
      <c r="G23" s="94">
        <f>'[1]DAILY-ELEV-STR(1)'!N46</f>
        <v>1.6190000000000002</v>
      </c>
      <c r="H23" s="96">
        <f>'[1]DAILY-ELEV-STR(1)'!N61</f>
        <v>1.504</v>
      </c>
      <c r="I23" s="97">
        <f t="shared" si="0"/>
        <v>44.235294117647058</v>
      </c>
      <c r="J23" s="98">
        <f>'[1]ΚΑΤΑΧΩΡΗΣΗ-ΕΛΕΓΧΟΣ(2)'!L31</f>
        <v>0.94599999999999995</v>
      </c>
      <c r="K23" s="99">
        <f t="shared" si="1"/>
        <v>27.823529411764703</v>
      </c>
      <c r="L23" s="89">
        <f>'[1]ΕΙΣΡΟΕΣ-ΕΚΡΟΕΣ(3)'!M29</f>
        <v>1.393</v>
      </c>
      <c r="M23" s="90" t="str">
        <f>'[1]ΕΙΣΡΟΕΣ-ΕΚΡΟΕΣ(3)'!N29</f>
        <v>21/2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f>'[1]DAILY-ELEV-STR(1)'!M44</f>
        <v>0</v>
      </c>
      <c r="G24" s="94">
        <v>0</v>
      </c>
      <c r="H24" s="96">
        <f>'[1]DAILY-ELEV-STR(1)'!M61</f>
        <v>9.6000000000000002E-2</v>
      </c>
      <c r="I24" s="97">
        <f t="shared" si="0"/>
        <v>1.411764705882353</v>
      </c>
      <c r="J24" s="98">
        <f>'[1]ΚΑΤΑΧΩΡΗΣΗ-ΕΛΕΓΧΟΣ(2)'!L39</f>
        <v>0.318</v>
      </c>
      <c r="K24" s="99">
        <f t="shared" si="1"/>
        <v>4.6764705882352944</v>
      </c>
      <c r="L24" s="101">
        <f>'[1]ΕΙΣΡΟΕΣ-ΕΚΡΟΕΣ(3)'!M30</f>
        <v>1.9650000000000001</v>
      </c>
      <c r="M24" s="102" t="str">
        <f>'[1]ΕΙΣΡΟΕΣ-ΕΚΡΟΕΣ(3)'!N30</f>
        <v>5/2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f>SUM(F17:F24)</f>
        <v>0.14000000000000001</v>
      </c>
      <c r="G25" s="108">
        <f>SUM(G17:G24)</f>
        <v>69.230999999999995</v>
      </c>
      <c r="H25" s="109">
        <f>SUM(H17:H24)</f>
        <v>68.076000000000008</v>
      </c>
      <c r="I25" s="110">
        <f t="shared" si="0"/>
        <v>35.933491686460812</v>
      </c>
      <c r="J25" s="111">
        <f>SUM(J17:J24)</f>
        <v>30.106000000000005</v>
      </c>
      <c r="K25" s="112">
        <f t="shared" si="1"/>
        <v>15.891264185801004</v>
      </c>
      <c r="L25" s="113">
        <f>'[1]ΕΙΣΡΟΕΣ-ΕΚΡΟΕΣ(3)'!M31</f>
        <v>48.933999999999997</v>
      </c>
      <c r="M25" s="114" t="str">
        <f>'[1]ΕΙΣΡΟΕΣ-ΕΚΡΟΕΣ(3)'!N31</f>
        <v>29/1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f>'[1]DAILY-ELEV-STR(1)'!E44</f>
        <v>0</v>
      </c>
      <c r="G27" s="83">
        <f>'[1]DAILY-ELEV-STR(1)'!E46</f>
        <v>20.242999999999999</v>
      </c>
      <c r="H27" s="85">
        <f>'[1]DAILY-ELEV-STR(1)'!E61</f>
        <v>20.236999999999998</v>
      </c>
      <c r="I27" s="86">
        <f>H27/E27*100</f>
        <v>38.638663484486869</v>
      </c>
      <c r="J27" s="87">
        <f>'[1]ΚΑΤΑΧΩΡΗΣΗ-ΕΛΕΓΧΟΣ(2)'!L23</f>
        <v>7.6379999999999999</v>
      </c>
      <c r="K27" s="88">
        <f>J27/E27*100</f>
        <v>14.58329355608592</v>
      </c>
      <c r="L27" s="89">
        <f>'[1]ΕΙΣΡΟΕΣ-ΕΚΡΟΕΣ(3)'!M33</f>
        <v>15.348000000000001</v>
      </c>
      <c r="M27" s="92" t="str">
        <f>'[1]ΕΙΣΡΟΕΣ-ΕΚΡΟΕΣ(3)'!N33</f>
        <v>3/1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f>'[1]DAILY-ELEV-STR(1)'!G44</f>
        <v>0</v>
      </c>
      <c r="G28" s="83">
        <f>'[1]DAILY-ELEV-STR(1)'!G46</f>
        <v>9.6430000000000007</v>
      </c>
      <c r="H28" s="85">
        <f>'[1]DAILY-ELEV-STR(1)'!G61</f>
        <v>7.9779999999999998</v>
      </c>
      <c r="I28" s="86">
        <f>H28/E28*100</f>
        <v>46.470177073625351</v>
      </c>
      <c r="J28" s="87">
        <f>'[1]ΚΑΤΑΧΩΡΗΣΗ-ΕΛΕΓΧΟΣ(2)'!L25</f>
        <v>2.9020000000000001</v>
      </c>
      <c r="K28" s="88">
        <f>J28/E28*100</f>
        <v>16.903541472506991</v>
      </c>
      <c r="L28" s="89">
        <f>'[1]ΕΙΣΡΟΕΣ-ΕΚΡΟΕΣ(3)'!M34</f>
        <v>5.2060000000000004</v>
      </c>
      <c r="M28" s="92" t="str">
        <f>'[1]ΕΙΣΡΟΕΣ-ΕΚΡΟΕΣ(3)'!N34</f>
        <v>3/1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f>'[1]DAILY-ELEV-STR(1)'!O44</f>
        <v>0</v>
      </c>
      <c r="G29" s="83">
        <f>'[1]DAILY-ELEV-STR(1)'!O46</f>
        <v>0.95100000000000007</v>
      </c>
      <c r="H29" s="85">
        <f>'[1]DAILY-ELEV-STR(1)'!O61</f>
        <v>1.133</v>
      </c>
      <c r="I29" s="86">
        <f>H29/E29*100</f>
        <v>51.972477064220179</v>
      </c>
      <c r="J29" s="87">
        <f>'[1]ΚΑΤΑΧΩΡΗΣΗ-ΕΛΕΓΧΟΣ(2)'!L32</f>
        <v>0</v>
      </c>
      <c r="K29" s="88">
        <f>J29/E29*100</f>
        <v>0</v>
      </c>
      <c r="L29" s="89">
        <f>'[1]ΕΙΣΡΟΕΣ-ΕΚΡΟΕΣ(3)'!M35</f>
        <v>1.3979999999999999</v>
      </c>
      <c r="M29" s="92" t="str">
        <f>'[1]ΕΙΣΡΟΕΣ-ΕΚΡΟΕΣ(3)'!N35</f>
        <v>17/1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f>SUM(F27:F29)</f>
        <v>0</v>
      </c>
      <c r="G30" s="106">
        <f>SUM(G27:G29)</f>
        <v>30.837</v>
      </c>
      <c r="H30" s="109">
        <f>SUM(H27:H29)</f>
        <v>29.347999999999995</v>
      </c>
      <c r="I30" s="110">
        <f>H30/E30*100</f>
        <v>40.918533803661298</v>
      </c>
      <c r="J30" s="111">
        <f>SUM(J27:J29)</f>
        <v>10.54</v>
      </c>
      <c r="K30" s="112">
        <f>J30/E30*100</f>
        <v>14.695425456269254</v>
      </c>
      <c r="L30" s="113">
        <f>'[1]ΕΙΣΡΟΕΣ-ΕΚΡΟΕΣ(3)'!M36</f>
        <v>21.739000000000001</v>
      </c>
      <c r="M30" s="114" t="str">
        <f>'[1]ΕΙΣΡΟΕΣ-ΕΚΡΟΕΣ(3)'!N36</f>
        <v>3/1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f>'[1]DAILY-ELEV-STR(1)'!F44</f>
        <v>0</v>
      </c>
      <c r="G32" s="83">
        <f>'[1]DAILY-ELEV-STR(1)'!F46</f>
        <v>10.205</v>
      </c>
      <c r="H32" s="85">
        <f>'[1]DAILY-ELEV-STR(1)'!F61</f>
        <v>10.27</v>
      </c>
      <c r="I32" s="86">
        <f>H32/E32*100</f>
        <v>42.791666666666664</v>
      </c>
      <c r="J32" s="87">
        <f>'[1]ΚΑΤΑΧΩΡΗΣΗ-ΕΛΕΓΧΟΣ(2)'!L24</f>
        <v>3.9359999999999999</v>
      </c>
      <c r="K32" s="88">
        <f>J32/E32*100</f>
        <v>16.400000000000002</v>
      </c>
      <c r="L32" s="89">
        <f>'[1]ΕΙΣΡΟΕΣ-ΕΚΡΟΕΣ(3)'!M38</f>
        <v>6.2009999999999996</v>
      </c>
      <c r="M32" s="92" t="str">
        <f>'[1]ΕΙΣΡΟΕΣ-ΕΚΡΟΕΣ(3)'!N38</f>
        <v>7/3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f>'[1]DAILY-ELEV-STR(1)'!R44</f>
        <v>0</v>
      </c>
      <c r="G33" s="83">
        <f>'[1]DAILY-ELEV-STR(1)'!R46</f>
        <v>1.038</v>
      </c>
      <c r="H33" s="85">
        <f>'[1]DAILY-ELEV-STR(1)'!R61</f>
        <v>0.61099999999999999</v>
      </c>
      <c r="I33" s="86">
        <f>H33/E33*100</f>
        <v>61.717171717171716</v>
      </c>
      <c r="J33" s="87">
        <f>'[1]ΚΑΤΑΧΩΡΗΣΗ-ΕΛΕΓΧΟΣ(2)'!L35</f>
        <v>4.7E-2</v>
      </c>
      <c r="K33" s="88">
        <f>J33/E33*100</f>
        <v>4.7474747474747474</v>
      </c>
      <c r="L33" s="89">
        <f>'[1]ΕΙΣΡΟΕΣ-ΕΚΡΟΕΣ(3)'!M39</f>
        <v>0.39100000000000001</v>
      </c>
      <c r="M33" s="92" t="str">
        <f>'[1]ΕΙΣΡΟΕΣ-ΕΚΡΟΕΣ(3)'!N39</f>
        <v>17/4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f>'[1]DAILY-ELEV-STR(1)'!S44</f>
        <v>0</v>
      </c>
      <c r="G34" s="83">
        <f>'[1]DAILY-ELEV-STR(1)'!S46</f>
        <v>0.84400000000000031</v>
      </c>
      <c r="H34" s="85">
        <f>'[1]DAILY-ELEV-STR(1)'!S61</f>
        <v>0.63</v>
      </c>
      <c r="I34" s="86">
        <f>H34/E34*100</f>
        <v>73.255813953488371</v>
      </c>
      <c r="J34" s="87">
        <f>'[1]ΚΑΤΑΧΩΡΗΣΗ-ΕΛΕΓΧΟΣ(2)'!L36</f>
        <v>0.14000000000000001</v>
      </c>
      <c r="K34" s="88">
        <f>J34/E34*100</f>
        <v>16.279069767441861</v>
      </c>
      <c r="L34" s="89">
        <f>'[1]ΕΙΣΡΟΕΣ-ΕΚΡΟΕΣ(3)'!M40</f>
        <v>0.378</v>
      </c>
      <c r="M34" s="92" t="str">
        <f>'[1]ΕΙΣΡΟΕΣ-ΕΚΡΟΕΣ(3)'!N40</f>
        <v>30/4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f>'[1]DAILY-ELEV-STR(1)'!U44</f>
        <v>0</v>
      </c>
      <c r="G35" s="83">
        <f>'[1]DAILY-ELEV-STR(1)'!U46</f>
        <v>0.28200000000000003</v>
      </c>
      <c r="H35" s="85">
        <f>'[1]DAILY-ELEV-STR(1)'!U61</f>
        <v>0.19600000000000001</v>
      </c>
      <c r="I35" s="86">
        <f>H35/E35*100</f>
        <v>65.771812080536918</v>
      </c>
      <c r="J35" s="87">
        <f>'[1]ΚΑΤΑΧΩΡΗΣΗ-ΕΛΕΓΧΟΣ(2)'!L38</f>
        <v>5.8999999999999997E-2</v>
      </c>
      <c r="K35" s="88">
        <f>J35/E35*100</f>
        <v>19.798657718120804</v>
      </c>
      <c r="L35" s="89">
        <f>'[1]ΕΙΣΡΟΕΣ-ΕΚΡΟΕΣ(3)'!M41</f>
        <v>0.17699999999999999</v>
      </c>
      <c r="M35" s="92" t="str">
        <f>'[1]ΕΙΣΡΟΕΣ-ΕΚΡΟΕΣ(3)'!N41</f>
        <v>30,4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f>SUM(F32:F35)</f>
        <v>0</v>
      </c>
      <c r="G36" s="106">
        <f>SUM(G32:G35)</f>
        <v>12.369</v>
      </c>
      <c r="H36" s="109">
        <f>SUM(H32:H35)</f>
        <v>11.707000000000001</v>
      </c>
      <c r="I36" s="110">
        <f>H36/E36*100</f>
        <v>44.772066697261749</v>
      </c>
      <c r="J36" s="111">
        <f>SUM(J32:J35)</f>
        <v>4.1820000000000004</v>
      </c>
      <c r="K36" s="112">
        <f>J36/E36*100</f>
        <v>15.993575034419463</v>
      </c>
      <c r="L36" s="113">
        <f>'[1]ΕΙΣΡΟΕΣ-ΕΚΡΟΕΣ(3)'!M42</f>
        <v>7.0609999999999999</v>
      </c>
      <c r="M36" s="123" t="str">
        <f>'[1]ΕΙΣΡΟΕΣ-ΕΚΡΟΕΣ(3)'!N42</f>
        <v>7/3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f>'[1]DAILY-ELEV-STR(1)'!P44</f>
        <v>0</v>
      </c>
      <c r="G38" s="136">
        <f>'[1]DAILY-ELEV-STR(1)'!P46</f>
        <v>1.7230000000000001</v>
      </c>
      <c r="H38" s="85">
        <f>'[1]DAILY-ELEV-STR(1)'!P61</f>
        <v>1.395</v>
      </c>
      <c r="I38" s="86">
        <f>H38/E38*100</f>
        <v>82.544378698224847</v>
      </c>
      <c r="J38" s="87">
        <f>'[1]ΚΑΤΑΧΩΡΗΣΗ-ΕΛΕΓΧΟΣ(2)'!L33</f>
        <v>1.0999999999999999E-2</v>
      </c>
      <c r="K38" s="88">
        <f>J38/E38*100</f>
        <v>0.65088757396449703</v>
      </c>
      <c r="L38" s="89">
        <f>'[1]ΕΙΣΡΟΕΣ-ΕΚΡΟΕΣ(3)'!M44</f>
        <v>5.0999999999999997E-2</v>
      </c>
      <c r="M38" s="92" t="str">
        <f>'[1]ΕΙΣΡΟΕΣ-ΕΚΡΟΕΣ(3)'!N44</f>
        <v>11/1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f>'[1]DAILY-ELEV-STR(1)'!Q44</f>
        <v>0</v>
      </c>
      <c r="G39" s="136">
        <f>'[1]DAILY-ELEV-STR(1)'!Q46</f>
        <v>1.4920000000000002</v>
      </c>
      <c r="H39" s="85">
        <f>'[1]DAILY-ELEV-STR(1)'!Q61</f>
        <v>1.22</v>
      </c>
      <c r="I39" s="78">
        <f>H39/E39*100</f>
        <v>85.314685314685306</v>
      </c>
      <c r="J39" s="87">
        <f>'[1]ΚΑΤΑΧΩΡΗΣΗ-ΕΛΕΓΧΟΣ(2)'!L34</f>
        <v>0.11</v>
      </c>
      <c r="K39" s="80">
        <f>J39/E39*100</f>
        <v>7.6923076923076925</v>
      </c>
      <c r="L39" s="89">
        <f>'[1]ΕΙΣΡΟΕΣ-ΕΚΡΟΕΣ(3)'!M45</f>
        <v>0.33500000000000002</v>
      </c>
      <c r="M39" s="92" t="str">
        <f>'[1]ΕΙΣΡΟΕΣ-ΕΚΡΟΕΣ(3)'!N45</f>
        <v>24/3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f>'[1]DAILY-ELEV-STR(1)'!T44</f>
        <v>0</v>
      </c>
      <c r="G40" s="142">
        <f>'[1]DAILY-ELEV-STR(1)'!T46</f>
        <v>0.31200000000000006</v>
      </c>
      <c r="H40" s="85">
        <f>'[1]DAILY-ELEV-STR(1)'!T61</f>
        <v>0.35899999999999999</v>
      </c>
      <c r="I40" s="78">
        <f>H40/E40*100</f>
        <v>98.898071625344357</v>
      </c>
      <c r="J40" s="87">
        <f>'[1]ΚΑΤΑΧΩΡΗΣΗ-ΕΛΕΓΧΟΣ(2)'!L37</f>
        <v>9.6000000000000002E-2</v>
      </c>
      <c r="K40" s="80">
        <f>J40/E40*100</f>
        <v>26.446280991735538</v>
      </c>
      <c r="L40" s="143">
        <f>'[1]ΕΙΣΡΟΕΣ-ΕΚΡΟΕΣ(3)'!M46</f>
        <v>0.32</v>
      </c>
      <c r="M40" s="144" t="str">
        <f>'[1]ΕΙΣΡΟΕΣ-ΕΚΡΟΕΣ(3)'!N46</f>
        <v>18/4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f>SUM(F38:F40)</f>
        <v>0</v>
      </c>
      <c r="G41" s="106">
        <f>SUM(G38:G40)</f>
        <v>3.5270000000000001</v>
      </c>
      <c r="H41" s="109">
        <f>SUM(H38:H40)</f>
        <v>2.9740000000000002</v>
      </c>
      <c r="I41" s="110">
        <f>H41/E41*100</f>
        <v>85.386161355153618</v>
      </c>
      <c r="J41" s="111">
        <f>SUM(J38:J40)</f>
        <v>0.217</v>
      </c>
      <c r="K41" s="112">
        <f>J41/E41*100</f>
        <v>6.230261269020958</v>
      </c>
      <c r="L41" s="146">
        <f>'[1]ΕΙΣΡΟΕΣ-ΕΚΡΟΕΣ(3)'!M47</f>
        <v>0.69599999999999995</v>
      </c>
      <c r="M41" s="147" t="str">
        <f>'[1]ΕΙΣΡΟΕΣ-ΕΚΡΟΕΣ(3)'!N47</f>
        <v>24/3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f>F25+F30+F36+F41</f>
        <v>0.14000000000000001</v>
      </c>
      <c r="G43" s="156">
        <f>G25+G30+G36+G41</f>
        <v>115.964</v>
      </c>
      <c r="H43" s="157">
        <f>H25+H30+H36+H41</f>
        <v>112.105</v>
      </c>
      <c r="I43" s="158">
        <f>H43/E43*100</f>
        <v>38.550019944705021</v>
      </c>
      <c r="J43" s="157">
        <f>J25+J30+J36+J41</f>
        <v>45.045000000000002</v>
      </c>
      <c r="K43" s="112">
        <f>J43/E43*100</f>
        <v>15.489814445468426</v>
      </c>
      <c r="L43" s="159">
        <f>'[1]ΕΙΣΡΟΕΣ-ΕΚΡΟΕΣ(3)'!M49</f>
        <v>77.382999999999996</v>
      </c>
      <c r="M43" s="160" t="str">
        <f>'[1]ΕΙΣΡΟΕΣ-ΕΚΡΟΕΣ(3)'!N49</f>
        <v>15/1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f>'[1]ΙΣΤΟΣΕΛΙΔΑ-GR(4)'!J45</f>
        <v>20.440000000000001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tr">
        <f>'[1]ΚΑΤΑΧΩΡΗΣΗ-ΕΛΕΓΧΟΣ(2)'!E49</f>
        <v>15/16</v>
      </c>
      <c r="D49" s="187" t="str">
        <f>'[1]ΚΑΤΑΧΩΡΗΣΗ-ΕΛΕΓΧΟΣ(2)'!F49</f>
        <v>16/17</v>
      </c>
      <c r="E49" s="187" t="str">
        <f>'[1]ΚΑΤΑΧΩΡΗΣΗ-ΕΛΕΓΧΟΣ(2)'!G49</f>
        <v>17/18</v>
      </c>
      <c r="F49" s="187" t="str">
        <f>'[1]ΚΑΤΑΧΩΡΗΣΗ-ΕΛΕΓΧΟΣ(2)'!H49</f>
        <v>18/19</v>
      </c>
      <c r="G49" s="187" t="str">
        <f>'[1]ΚΑΤΑΧΩΡΗΣΗ-ΕΛΕΓΧΟΣ(2)'!I49</f>
        <v>19/20</v>
      </c>
      <c r="H49" s="187" t="str">
        <f>'[1]ΚΑΤΑΧΩΡΗΣΗ-ΕΛΕΓΧΟΣ(2)'!J49</f>
        <v>20/21</v>
      </c>
      <c r="I49" s="187" t="str">
        <f>'[1]ΚΑΤΑΧΩΡΗΣΗ-ΕΛΕΓΧΟΣ(2)'!K49</f>
        <v>21/22</v>
      </c>
      <c r="J49" s="187" t="str">
        <f>'[1]ΚΑΤΑΧΩΡΗΣΗ-ΕΛΕΓΧΟΣ(2)'!L49</f>
        <v>22/23</v>
      </c>
      <c r="K49" s="187" t="str">
        <f>'[1]ΚΑΤΑΧΩΡΗΣΗ-ΕΛΕΓΧΟΣ(2)'!M49</f>
        <v>23/24</v>
      </c>
      <c r="L49" s="187" t="str">
        <f>'[1]ΚΑΤΑΧΩΡΗΣΗ-ΕΛΕΓΧΟΣ(2)'!N49</f>
        <v>24/25</v>
      </c>
      <c r="M49" s="187" t="str">
        <f>'[1]ΚΑΤΑΧΩΡΗΣΗ-ΕΛΕΓΧΟΣ(2)'!O49</f>
        <v>25/26</v>
      </c>
    </row>
    <row r="50" spans="2:14" ht="27" customHeight="1">
      <c r="B50" s="188" t="s">
        <v>44</v>
      </c>
      <c r="C50" s="189">
        <f>'[1]ΚΑΤΑΧΩΡΗΣΗ-ΕΛΕΓΧΟΣ(2)'!E50</f>
        <v>1.024</v>
      </c>
      <c r="D50" s="189">
        <f>'[1]ΚΑΤΑΧΩΡΗΣΗ-ΕΛΕΓΧΟΣ(2)'!F50</f>
        <v>0.247</v>
      </c>
      <c r="E50" s="190">
        <f>'[1]ΚΑΤΑΧΩΡΗΣΗ-ΕΛΕΓΧΟΣ(2)'!G50</f>
        <v>0.14199999999999999</v>
      </c>
      <c r="F50" s="190">
        <f>'[1]ΚΑΤΑΧΩΡΗΣΗ-ΕΛΕΓΧΟΣ(2)'!H50</f>
        <v>0.85799999999999998</v>
      </c>
      <c r="G50" s="190">
        <f>'[1]ΚΑΤΑΧΩΡΗΣΗ-ΕΛΕΓΧΟΣ(2)'!I50</f>
        <v>2.4298378274389072</v>
      </c>
      <c r="H50" s="190">
        <f>'[1]ΚΑΤΑΧΩΡΗΣΗ-ΕΛΕΓΧΟΣ(2)'!J50</f>
        <v>0.16500000000000001</v>
      </c>
      <c r="I50" s="190">
        <f>'[1]ΚΑΤΑΧΩΡΗΣΗ-ΕΛΕΓΧΟΣ(2)'!K50</f>
        <v>8.4000000000000005E-2</v>
      </c>
      <c r="J50" s="190">
        <f>'[1]ΚΑΤΑΧΩΡΗΣΗ-ΕΛΕΓΧΟΣ(2)'!L50</f>
        <v>3.9459999999999997</v>
      </c>
      <c r="K50" s="190">
        <f>'[1]ΚΑΤΑΧΩΡΗΣΗ-ΕΛΕΓΧΟΣ(2)'!M50</f>
        <v>0.58300000000000018</v>
      </c>
      <c r="L50" s="190">
        <f>'[1]ΚΑΤΑΧΩΡΗΣΗ-ΕΛΕΓΧΟΣ(2)'!N50</f>
        <v>0</v>
      </c>
      <c r="M50" s="190">
        <f>'[1]ΚΑΤΑΧΩΡΗΣΗ-ΕΛΕΓΧΟΣ(2)'!O50</f>
        <v>9.5000000000000001E-2</v>
      </c>
    </row>
    <row r="51" spans="2:14" ht="27" customHeight="1">
      <c r="B51" s="191" t="s">
        <v>45</v>
      </c>
      <c r="C51" s="189">
        <f>'[1]ΚΑΤΑΧΩΡΗΣΗ-ΕΛΕΓΧΟΣ(2)'!E51</f>
        <v>0.60799999999999998</v>
      </c>
      <c r="D51" s="189">
        <f>'[1]ΚΑΤΑΧΩΡΗΣΗ-ΕΛΕΓΧΟΣ(2)'!F51</f>
        <v>0.65700000000000003</v>
      </c>
      <c r="E51" s="190">
        <f>'[1]ΚΑΤΑΧΩΡΗΣΗ-ΕΛΕΓΧΟΣ(2)'!G51</f>
        <v>0.61399999999999999</v>
      </c>
      <c r="F51" s="190">
        <f>'[1]ΚΑΤΑΧΩΡΗΣΗ-ΕΛΕΓΧΟΣ(2)'!H51</f>
        <v>0.75700000000000001</v>
      </c>
      <c r="G51" s="190">
        <f>'[1]ΚΑΤΑΧΩΡΗΣΗ-ΕΛΕΓΧΟΣ(2)'!I51</f>
        <v>1.5453236734428304</v>
      </c>
      <c r="H51" s="190">
        <f>'[1]ΚΑΤΑΧΩΡΗΣΗ-ΕΛΕΓΧΟΣ(2)'!J51</f>
        <v>0.94200000000000017</v>
      </c>
      <c r="I51" s="190">
        <f>'[1]ΚΑΤΑΧΩΡΗΣΗ-ΕΛΕΓΧΟΣ(2)'!K51</f>
        <v>0.39700000000000008</v>
      </c>
      <c r="J51" s="190">
        <f>'[1]ΚΑΤΑΧΩΡΗΣΗ-ΕΛΕΓΧΟΣ(2)'!L51</f>
        <v>2.9759999999999995</v>
      </c>
      <c r="K51" s="190">
        <f>'[1]ΚΑΤΑΧΩΡΗΣΗ-ΕΛΕΓΧΟΣ(2)'!M51</f>
        <v>1.5810000000000002</v>
      </c>
      <c r="L51" s="190">
        <f>'[1]ΚΑΤΑΧΩΡΗΣΗ-ΕΛΕΓΧΟΣ(2)'!N51</f>
        <v>3.0839999999999987</v>
      </c>
      <c r="M51" s="190">
        <f>'[1]ΚΑΤΑΧΩΡΗΣΗ-ΕΛΕΓΧΟΣ(2)'!O51</f>
        <v>0.20000000000000004</v>
      </c>
    </row>
    <row r="52" spans="2:14" ht="27" customHeight="1">
      <c r="B52" s="191" t="s">
        <v>46</v>
      </c>
      <c r="C52" s="189">
        <f>'[1]ΚΑΤΑΧΩΡΗΣΗ-ΕΛΕΓΧΟΣ(2)'!E52</f>
        <v>1.248</v>
      </c>
      <c r="D52" s="189">
        <f>'[1]ΚΑΤΑΧΩΡΗΣΗ-ΕΛΕΓΧΟΣ(2)'!F52</f>
        <v>7.4240000000000004</v>
      </c>
      <c r="E52" s="190">
        <f>'[1]ΚΑΤΑΧΩΡΗΣΗ-ΕΛΕΓΧΟΣ(2)'!G52</f>
        <v>0.88100000000000001</v>
      </c>
      <c r="F52" s="190">
        <f>'[1]ΚΑΤΑΧΩΡΗΣΗ-ΕΛΕΓΧΟΣ(2)'!H52</f>
        <v>16.664999999999999</v>
      </c>
      <c r="G52" s="190">
        <f>'[1]ΚΑΤΑΧΩΡΗΣΗ-ΕΛΕΓΧΟΣ(2)'!I52</f>
        <v>30.495000000000001</v>
      </c>
      <c r="H52" s="190">
        <f>'[1]ΚΑΤΑΧΩΡΗΣΗ-ΕΛΕΓΧΟΣ(2)'!J52</f>
        <v>3.1070000000000007</v>
      </c>
      <c r="I52" s="190">
        <f>'[1]ΚΑΤΑΧΩΡΗΣΗ-ΕΛΕΓΧΟΣ(2)'!K52</f>
        <v>11.922999999999998</v>
      </c>
      <c r="J52" s="190">
        <f>'[1]ΚΑΤΑΧΩΡΗΣΗ-ΕΛΕΓΧΟΣ(2)'!L52</f>
        <v>2.9220000000000006</v>
      </c>
      <c r="K52" s="190">
        <f>'[1]ΚΑΤΑΧΩΡΗΣΗ-ΕΛΕΓΧΟΣ(2)'!M52</f>
        <v>2.3400000000000007</v>
      </c>
      <c r="L52" s="190">
        <f>'[1]ΚΑΤΑΧΩΡΗΣΗ-ΕΛΕΓΧΟΣ(2)'!N52</f>
        <v>5.71</v>
      </c>
      <c r="M52" s="190">
        <f>'[1]ΚΑΤΑΧΩΡΗΣΗ-ΕΛΕΓΧΟΣ(2)'!O52</f>
        <v>1.9030000000000002</v>
      </c>
    </row>
    <row r="53" spans="2:14" ht="27" customHeight="1">
      <c r="B53" s="191" t="s">
        <v>47</v>
      </c>
      <c r="C53" s="189">
        <f>'[1]ΚΑΤΑΧΩΡΗΣΗ-ΕΛΕΓΧΟΣ(2)'!E53</f>
        <v>3.6850000000000001</v>
      </c>
      <c r="D53" s="189">
        <f>'[1]ΚΑΤΑΧΩΡΗΣΗ-ΕΛΕΓΧΟΣ(2)'!F53</f>
        <v>21.082999999999998</v>
      </c>
      <c r="E53" s="190">
        <f>'[1]ΚΑΤΑΧΩΡΗΣΗ-ΕΛΕΓΧΟΣ(2)'!G53</f>
        <v>20.661000000000001</v>
      </c>
      <c r="F53" s="190">
        <f>'[1]ΚΑΤΑΧΩΡΗΣΗ-ΕΛΕΓΧΟΣ(2)'!H53</f>
        <v>118.11</v>
      </c>
      <c r="G53" s="190">
        <f>'[1]ΚΑΤΑΧΩΡΗΣΗ-ΕΛΕΓΧΟΣ(2)'!I53</f>
        <v>47.740000000000009</v>
      </c>
      <c r="H53" s="190">
        <f>'[1]ΚΑΤΑΧΩΡΗΣΗ-ΕΛΕΓΧΟΣ(2)'!J53</f>
        <v>12.540000000000001</v>
      </c>
      <c r="I53" s="190">
        <f>'[1]ΚΑΤΑΧΩΡΗΣΗ-ΕΛΕΓΧΟΣ(2)'!K53</f>
        <v>74.614000000000004</v>
      </c>
      <c r="J53" s="190">
        <f>'[1]ΚΑΤΑΧΩΡΗΣΗ-ΕΛΕΓΧΟΣ(2)'!L53</f>
        <v>8.2679999999999989</v>
      </c>
      <c r="K53" s="190">
        <f>'[1]ΚΑΤΑΧΩΡΗΣΗ-ΕΛΕΓΧΟΣ(2)'!M53</f>
        <v>7.3000000000000007</v>
      </c>
      <c r="L53" s="190">
        <f>'[1]ΚΑΤΑΧΩΡΗΣΗ-ΕΛΕΓΧΟΣ(2)'!N53</f>
        <v>4.0620000000000012</v>
      </c>
      <c r="M53" s="190">
        <f>'[1]ΚΑΤΑΧΩΡΗΣΗ-ΕΛΕΓΧΟΣ(2)'!O53</f>
        <v>12.670000000000002</v>
      </c>
    </row>
    <row r="54" spans="2:14" ht="27" customHeight="1">
      <c r="B54" s="191" t="s">
        <v>48</v>
      </c>
      <c r="C54" s="189">
        <f>'[1]ΚΑΤΑΧΩΡΗΣΗ-ΕΛΕΓΧΟΣ(2)'!E54</f>
        <v>2.8239999999999972</v>
      </c>
      <c r="D54" s="189">
        <f>'[1]ΚΑΤΑΧΩΡΗΣΗ-ΕΛΕΓΧΟΣ(2)'!F54</f>
        <v>4.181</v>
      </c>
      <c r="E54" s="190">
        <f>'[1]ΚΑΤΑΧΩΡΗΣΗ-ΕΛΕΓΧΟΣ(2)'!G54</f>
        <v>9.5280000000000005</v>
      </c>
      <c r="F54" s="190">
        <f>'[1]ΚΑΤΑΧΩΡΗΣΗ-ΕΛΕΓΧΟΣ(2)'!H54</f>
        <v>53.908999999999999</v>
      </c>
      <c r="G54" s="190">
        <f>'[1]ΚΑΤΑΧΩΡΗΣΗ-ΕΛΕΓΧΟΣ(2)'!I54</f>
        <v>15.916000000000002</v>
      </c>
      <c r="H54" s="190">
        <f>'[1]ΚΑΤΑΧΩΡΗΣΗ-ΕΛΕΓΧΟΣ(2)'!J54</f>
        <v>8.016</v>
      </c>
      <c r="I54" s="190">
        <f>'[1]ΚΑΤΑΧΩΡΗΣΗ-ΕΛΕΓΧΟΣ(2)'!K54</f>
        <v>33.962999999999994</v>
      </c>
      <c r="J54" s="190">
        <f>'[1]ΚΑΤΑΧΩΡΗΣΗ-ΕΛΕΓΧΟΣ(2)'!L54</f>
        <v>12.603</v>
      </c>
      <c r="K54" s="190">
        <f>'[1]ΚΑΤΑΧΩΡΗΣΗ-ΕΛΕΓΧΟΣ(2)'!M54</f>
        <v>6.6760000000000019</v>
      </c>
      <c r="L54" s="190">
        <f>'[1]ΚΑΤΑΧΩΡΗΣΗ-ΕΛΕΓΧΟΣ(2)'!N54</f>
        <v>2.4510000000000005</v>
      </c>
      <c r="M54" s="190">
        <f>'[1]ΚΑΤΑΧΩΡΗΣΗ-ΕΛΕΓΧΟΣ(2)'!O54</f>
        <v>24.201000000000004</v>
      </c>
    </row>
    <row r="55" spans="2:14" ht="27" customHeight="1">
      <c r="B55" s="191" t="s">
        <v>49</v>
      </c>
      <c r="C55" s="189">
        <f>'[1]ΚΑΤΑΧΩΡΗΣΗ-ΕΛΕΓΧΟΣ(2)'!E55</f>
        <v>6.1319999999999997</v>
      </c>
      <c r="D55" s="189">
        <f>'[1]ΚΑΤΑΧΩΡΗΣΗ-ΕΛΕΓΧΟΣ(2)'!F55</f>
        <v>8.891</v>
      </c>
      <c r="E55" s="190">
        <f>'[1]ΚΑΤΑΧΩΡΗΣΗ-ΕΛΕΓΧΟΣ(2)'!G55</f>
        <v>5.944</v>
      </c>
      <c r="F55" s="190">
        <f>'[1]ΚΑΤΑΧΩΡΗΣΗ-ΕΛΕΓΧΟΣ(2)'!H55</f>
        <v>32.283000000000001</v>
      </c>
      <c r="G55" s="190">
        <f>'[1]ΚΑΤΑΧΩΡΗΣΗ-ΕΛΕΓΧΟΣ(2)'!I55</f>
        <v>15.670000000000002</v>
      </c>
      <c r="H55" s="190">
        <f>'[1]ΚΑΤΑΧΩΡΗΣΗ-ΕΛΕΓΧΟΣ(2)'!J55</f>
        <v>6.0219999999999994</v>
      </c>
      <c r="I55" s="190">
        <f>'[1]ΚΑΤΑΧΩΡΗΣΗ-ΕΛΕΓΧΟΣ(2)'!K55</f>
        <v>19.801000000000002</v>
      </c>
      <c r="J55" s="190">
        <f>'[1]ΚΑΤΑΧΩΡΗΣΗ-ΕΛΕΓΧΟΣ(2)'!L55</f>
        <v>9.5170000000000012</v>
      </c>
      <c r="K55" s="190">
        <f>'[1]ΚΑΤΑΧΩΡΗΣΗ-ΕΛΕΓΧΟΣ(2)'!M55</f>
        <v>2.9200000000000004</v>
      </c>
      <c r="L55" s="190">
        <f>'[1]ΚΑΤΑΧΩΡΗΣΗ-ΕΛΕΓΧΟΣ(2)'!N55</f>
        <v>1.4649999999999996</v>
      </c>
      <c r="M55" s="190">
        <f>'[1]ΚΑΤΑΧΩΡΗΣΗ-ΕΛΕΓΧΟΣ(2)'!O55</f>
        <v>35.414000000000001</v>
      </c>
    </row>
    <row r="56" spans="2:14" ht="27" customHeight="1">
      <c r="B56" s="191" t="s">
        <v>50</v>
      </c>
      <c r="C56" s="189">
        <f>'[1]ΚΑΤΑΧΩΡΗΣΗ-ΕΛΕΓΧΟΣ(2)'!E56</f>
        <v>1.3140000000000001</v>
      </c>
      <c r="D56" s="189">
        <f>'[1]ΚΑΤΑΧΩΡΗΣΗ-ΕΛΕΓΧΟΣ(2)'!F56</f>
        <v>4.3979999999999997</v>
      </c>
      <c r="E56" s="190">
        <f>'[1]ΚΑΤΑΧΩΡΗΣΗ-ΕΛΕΓΧΟΣ(2)'!G56</f>
        <v>2.1760000000000002</v>
      </c>
      <c r="F56" s="190">
        <f>'[1]ΚΑΤΑΧΩΡΗΣΗ-ΕΛΕΓΧΟΣ(2)'!H56</f>
        <v>25.326000000000001</v>
      </c>
      <c r="G56" s="190">
        <f>'[1]ΚΑΤΑΧΩΡΗΣΗ-ΕΛΕΓΧΟΣ(2)'!I56</f>
        <v>11.062000000000003</v>
      </c>
      <c r="H56" s="190">
        <f>'[1]ΚΑΤΑΧΩΡΗΣΗ-ΕΛΕΓΧΟΣ(2)'!J56</f>
        <v>4.1559999999999988</v>
      </c>
      <c r="I56" s="190">
        <f>'[1]ΚΑΤΑΧΩΡΗΣΗ-ΕΛΕΓΧΟΣ(2)'!K56</f>
        <v>8.1390000000000029</v>
      </c>
      <c r="J56" s="190">
        <f>'[1]ΚΑΤΑΧΩΡΗΣΗ-ΕΛΕΓΧΟΣ(2)'!L56</f>
        <v>4.7410000000000005</v>
      </c>
      <c r="K56" s="190">
        <f>'[1]ΚΑΤΑΧΩΡΗΣΗ-ΕΛΕΓΧΟΣ(2)'!M56</f>
        <v>1.8010000000000004</v>
      </c>
      <c r="L56" s="190">
        <f>'[1]ΚΑΤΑΧΩΡΗΣΗ-ΕΛΕΓΧΟΣ(2)'!N56</f>
        <v>1.0959999999999999</v>
      </c>
      <c r="M56" s="190">
        <f>'[1]ΚΑΤΑΧΩΡΗΣΗ-ΕΛΕΓΧΟΣ(2)'!O56</f>
        <v>23.609000000000002</v>
      </c>
    </row>
    <row r="57" spans="2:14" ht="27" customHeight="1">
      <c r="B57" s="191" t="s">
        <v>51</v>
      </c>
      <c r="C57" s="189">
        <f>'[1]ΚΑΤΑΧΩΡΗΣΗ-ΕΛΕΓΧΟΣ(2)'!E57</f>
        <v>0.96099999999999997</v>
      </c>
      <c r="D57" s="189">
        <f>'[1]ΚΑΤΑΧΩΡΗΣΗ-ΕΛΕΓΧΟΣ(2)'!F57</f>
        <v>1.78</v>
      </c>
      <c r="E57" s="190">
        <f>'[1]ΚΑΤΑΧΩΡΗΣΗ-ΕΛΕΓΧΟΣ(2)'!G57</f>
        <v>2.802</v>
      </c>
      <c r="F57" s="190">
        <f>'[1]ΚΑΤΑΧΩΡΗΣΗ-ΕΛΕΓΧΟΣ(2)'!H57</f>
        <v>8.868999999999998</v>
      </c>
      <c r="G57" s="190">
        <f>'[1]ΚΑΤΑΧΩΡΗΣΗ-ΕΛΕΓΧΟΣ(2)'!I57</f>
        <v>7.3170000000000002</v>
      </c>
      <c r="H57" s="190">
        <f>'[1]ΚΑΤΑΧΩΡΗΣΗ-ΕΛΕΓΧΟΣ(2)'!J57</f>
        <v>0.89900000000000024</v>
      </c>
      <c r="I57" s="190">
        <f>'[1]ΚΑΤΑΧΩΡΗΣΗ-ΕΛΕΓΧΟΣ(2)'!K57</f>
        <v>3.4400000000000004</v>
      </c>
      <c r="J57" s="190">
        <f>'[1]ΚΑΤΑΧΩΡΗΣΗ-ΕΛΕΓΧΟΣ(2)'!L57</f>
        <v>2.7279999999999998</v>
      </c>
      <c r="K57" s="190">
        <f>'[1]ΚΑΤΑΧΩΡΗΣΗ-ΕΛΕΓΧΟΣ(2)'!M57</f>
        <v>0.91000000000000036</v>
      </c>
      <c r="L57" s="190">
        <f>'[1]ΚΑΤΑΧΩΡΗΣΗ-ΕΛΕΓΧΟΣ(2)'!N57</f>
        <v>0.71600000000000019</v>
      </c>
      <c r="M57" s="190">
        <f>'[1]ΚΑΤΑΧΩΡΗΣΗ-ΕΛΕΓΧΟΣ(2)'!O57</f>
        <v>13.220999999999998</v>
      </c>
    </row>
    <row r="58" spans="2:14" ht="27" customHeight="1">
      <c r="B58" s="191" t="s">
        <v>52</v>
      </c>
      <c r="C58" s="189">
        <f>'[1]ΚΑΤΑΧΩΡΗΣΗ-ΕΛΕΓΧΟΣ(2)'!E58</f>
        <v>0.105</v>
      </c>
      <c r="D58" s="189">
        <f>'[1]ΚΑΤΑΧΩΡΗΣΗ-ΕΛΕΓΧΟΣ(2)'!F58</f>
        <v>0.22800000000000001</v>
      </c>
      <c r="E58" s="190">
        <f>'[1]ΚΑΤΑΧΩΡΗΣΗ-ΕΛΕΓΧΟΣ(2)'!G58</f>
        <v>2.0219999999999998</v>
      </c>
      <c r="F58" s="190">
        <f>'[1]ΚΑΤΑΧΩΡΗΣΗ-ΕΛΕΓΧΟΣ(2)'!H58</f>
        <v>6.1989999999999998</v>
      </c>
      <c r="G58" s="190">
        <f>'[1]ΚΑΤΑΧΩΡΗΣΗ-ΕΛΕΓΧΟΣ(2)'!I58</f>
        <v>2.7469999999999999</v>
      </c>
      <c r="H58" s="190">
        <f>'[1]ΚΑΤΑΧΩΡΗΣΗ-ΕΛΕΓΧΟΣ(2)'!J58</f>
        <v>0.192</v>
      </c>
      <c r="I58" s="190">
        <f>'[1]ΚΑΤΑΧΩΡΗΣΗ-ΕΛΕΓΧΟΣ(2)'!K58</f>
        <v>1.2640000000000002</v>
      </c>
      <c r="J58" s="190">
        <f>'[1]ΚΑΤΑΧΩΡΗΣΗ-ΕΛΕΓΧΟΣ(2)'!L58</f>
        <v>0.89100000000000013</v>
      </c>
      <c r="K58" s="190">
        <f>'[1]ΚΑΤΑΧΩΡΗΣΗ-ΕΛΕΓΧΟΣ(2)'!M58</f>
        <v>0.29700000000000004</v>
      </c>
      <c r="L58" s="190">
        <f>'[1]ΚΑΤΑΧΩΡΗΣΗ-ΕΛΕΓΧΟΣ(2)'!N58</f>
        <v>7.6000000000000012E-2</v>
      </c>
      <c r="M58" s="190">
        <f>'[1]ΚΑΤΑΧΩΡΗΣΗ-ΕΛΕΓΧΟΣ(2)'!O58</f>
        <v>3.0700000000000003</v>
      </c>
    </row>
    <row r="59" spans="2:14" ht="27" customHeight="1">
      <c r="B59" s="191" t="s">
        <v>53</v>
      </c>
      <c r="C59" s="189">
        <f>'[1]ΚΑΤΑΧΩΡΗΣΗ-ΕΛΕΓΧΟΣ(2)'!E59</f>
        <v>0</v>
      </c>
      <c r="D59" s="189">
        <f>'[1]ΚΑΤΑΧΩΡΗΣΗ-ΕΛΕΓΧΟΣ(2)'!F59</f>
        <v>0</v>
      </c>
      <c r="E59" s="190">
        <f>'[1]ΚΑΤΑΧΩΡΗΣΗ-ΕΛΕΓΧΟΣ(2)'!G59</f>
        <v>0.05</v>
      </c>
      <c r="F59" s="190">
        <f>'[1]ΚΑΤΑΧΩΡΗΣΗ-ΕΛΕΓΧΟΣ(2)'!H59</f>
        <v>1.524</v>
      </c>
      <c r="G59" s="190">
        <f>'[1]ΚΑΤΑΧΩΡΗΣΗ-ΕΛΕΓΧΟΣ(2)'!I59</f>
        <v>0.86600000000000021</v>
      </c>
      <c r="H59" s="190">
        <f>'[1]ΚΑΤΑΧΩΡΗΣΗ-ΕΛΕΓΧΟΣ(2)'!J59</f>
        <v>2.4E-2</v>
      </c>
      <c r="I59" s="190">
        <f>'[1]ΚΑΤΑΧΩΡΗΣΗ-ΕΛΕΓΧΟΣ(2)'!K59</f>
        <v>9.2999999999999999E-2</v>
      </c>
      <c r="J59" s="190">
        <f>'[1]ΚΑΤΑΧΩΡΗΣΗ-ΕΛΕΓΧΟΣ(2)'!L59</f>
        <v>0</v>
      </c>
      <c r="K59" s="190">
        <f>'[1]ΚΑΤΑΧΩΡΗΣΗ-ΕΛΕΓΧΟΣ(2)'!M59</f>
        <v>9.8000000000000004E-2</v>
      </c>
      <c r="L59" s="190">
        <f>'[1]ΚΑΤΑΧΩΡΗΣΗ-ΕΛΕΓΧΟΣ(2)'!N59</f>
        <v>0</v>
      </c>
      <c r="M59" s="190">
        <f>'[1]ΚΑΤΑΧΩΡΗΣΗ-ΕΛΕΓΧΟΣ(2)'!O59</f>
        <v>1.1120000000000003</v>
      </c>
    </row>
    <row r="60" spans="2:14" ht="27" customHeight="1" thickBot="1">
      <c r="B60" s="192" t="s">
        <v>54</v>
      </c>
      <c r="C60" s="189">
        <f>'[1]ΚΑΤΑΧΩΡΗΣΗ-ΕΛΕΓΧΟΣ(2)'!E60</f>
        <v>6.0000000000000001E-3</v>
      </c>
      <c r="D60" s="189">
        <f>'[1]ΚΑΤΑΧΩΡΗΣΗ-ΕΛΕΓΧΟΣ(2)'!F60</f>
        <v>0</v>
      </c>
      <c r="E60" s="190">
        <f>'[1]ΚΑΤΑΧΩΡΗΣΗ-ΕΛΕΓΧΟΣ(2)'!G60</f>
        <v>7.6999999999999999E-2</v>
      </c>
      <c r="F60" s="190">
        <f>'[1]ΚΑΤΑΧΩΡΗΣΗ-ΕΛΕΓΧΟΣ(2)'!H60</f>
        <v>0.54209980586723205</v>
      </c>
      <c r="G60" s="190">
        <f>'[1]ΚΑΤΑΧΩΡΗΣΗ-ΕΛΕΓΧΟΣ(2)'!I60</f>
        <v>0.161</v>
      </c>
      <c r="H60" s="190">
        <f>'[1]ΚΑΤΑΧΩΡΗΣΗ-ΕΛΕΓΧΟΣ(2)'!J60</f>
        <v>3.5000000000000003E-2</v>
      </c>
      <c r="I60" s="190">
        <f>'[1]ΚΑΤΑΧΩΡΗΣΗ-ΕΛΕΓΧΟΣ(2)'!K60</f>
        <v>3.4999999999999996E-2</v>
      </c>
      <c r="J60" s="190">
        <f>'[1]ΚΑΤΑΧΩΡΗΣΗ-ΕΛΕΓΧΟΣ(2)'!L60</f>
        <v>0.186</v>
      </c>
      <c r="K60" s="190">
        <f>'[1]ΚΑΤΑΧΩΡΗΣΗ-ΕΛΕΓΧΟΣ(2)'!M60</f>
        <v>0.20799999999999999</v>
      </c>
      <c r="L60" s="190">
        <f>'[1]ΚΑΤΑΧΩΡΗΣΗ-ΕΛΕΓΧΟΣ(2)'!N60</f>
        <v>4.0000000000000001E-3</v>
      </c>
      <c r="M60" s="190">
        <f>'[1]ΚΑΤΑΧΩΡΗΣΗ-ΕΛΕΓΧΟΣ(2)'!O60</f>
        <v>0.46900000000000003</v>
      </c>
    </row>
    <row r="61" spans="2:14" ht="27" customHeight="1" thickBot="1">
      <c r="B61" s="193" t="s">
        <v>25</v>
      </c>
      <c r="C61" s="194">
        <f t="shared" ref="C61:M61" si="2">SUM(C50:C60)</f>
        <v>17.906999999999993</v>
      </c>
      <c r="D61" s="195">
        <f t="shared" si="2"/>
        <v>48.889000000000003</v>
      </c>
      <c r="E61" s="195">
        <f t="shared" si="2"/>
        <v>44.896999999999998</v>
      </c>
      <c r="F61" s="195">
        <f t="shared" si="2"/>
        <v>265.04209980586722</v>
      </c>
      <c r="G61" s="195">
        <f t="shared" si="2"/>
        <v>135.94916150088179</v>
      </c>
      <c r="H61" s="195">
        <f t="shared" si="2"/>
        <v>36.097999999999999</v>
      </c>
      <c r="I61" s="195">
        <f t="shared" si="2"/>
        <v>153.75299999999999</v>
      </c>
      <c r="J61" s="195">
        <f t="shared" si="2"/>
        <v>48.777999999999999</v>
      </c>
      <c r="K61" s="195">
        <f t="shared" si="2"/>
        <v>24.714000000000006</v>
      </c>
      <c r="L61" s="195">
        <f t="shared" si="2"/>
        <v>18.664000000000001</v>
      </c>
      <c r="M61" s="195">
        <f t="shared" si="2"/>
        <v>115.964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f>'[1]ΙΣΤΟΣΕΛΙΔΑ-GR(4)'!F63</f>
        <v>0</v>
      </c>
      <c r="G63" s="203">
        <f>'[1]ΕΙΣΡΟΕΣ-ΕΚΡΟΕΣ(3)'!H68</f>
        <v>2.6580000000000004</v>
      </c>
      <c r="H63" s="204">
        <f>'[1]ΕΙΣΡΟΕΣ-ΕΚΡΟΕΣ(3)'!I68</f>
        <v>2.4689999999999999</v>
      </c>
      <c r="I63" s="205">
        <f>H63/E63*100</f>
        <v>88.178571428571431</v>
      </c>
      <c r="J63" s="206">
        <f>'[1]ΕΙΣΡΟΕΣ-ΕΚΡΟΕΣ(3)'!K68</f>
        <v>0.66100000000000003</v>
      </c>
      <c r="K63" s="207">
        <f>J63/E63*100</f>
        <v>23.607142857142861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f>'[1]ΙΣΤΟΣΕΛΙΔΑ-GR(4)'!F64</f>
        <v>0</v>
      </c>
      <c r="G64" s="211">
        <f>'[1]ΕΙΣΡΟΕΣ-ΕΚΡΟΕΣ(3)'!H69</f>
        <v>1.143</v>
      </c>
      <c r="H64" s="212">
        <f>'[1]ΕΙΣΡΟΕΣ-ΕΚΡΟΕΣ(3)'!I69</f>
        <v>1.8460000000000001</v>
      </c>
      <c r="I64" s="213">
        <f>H64/E64*100</f>
        <v>92.300000000000011</v>
      </c>
      <c r="J64" s="214">
        <f>'[1]ΕΙΣΡΟΕΣ-ΕΚΡΟΕΣ(3)'!K69</f>
        <v>1.22</v>
      </c>
      <c r="K64" s="88">
        <f>J64/E64*100</f>
        <v>61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f>'[1]ΙΣΤΟΣΕΛΙΔΑ-GR(4)'!F65</f>
        <v>-0.01</v>
      </c>
      <c r="G65" s="222">
        <f>'[1]ΕΙΣΡΟΕΣ-ΕΚΡΟΕΣ(3)'!H70</f>
        <v>2.6260000000000003</v>
      </c>
      <c r="H65" s="223">
        <f>'[1]ΕΙΣΡΟΕΣ-ΕΚΡΟΕΣ(3)'!I70</f>
        <v>4.0301842639520169</v>
      </c>
      <c r="I65" s="224">
        <f>H65/E65*100</f>
        <v>90.48460404023389</v>
      </c>
      <c r="J65" s="225">
        <f>'[1]ΕΙΣΡΟΕΣ-ΕΚΡΟΕΣ(3)'!K70</f>
        <v>2.198</v>
      </c>
      <c r="K65" s="226">
        <f>J65/E65*100</f>
        <v>49.348899865289631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2026-08-19T06:23:52Z</dcterms:created>
  <dcterms:modified xsi:type="dcterms:W3CDTF">2026-08-19T06:24:15Z</dcterms:modified>
</cp:coreProperties>
</file>